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<sst xmlns="http://schemas.openxmlformats.org/spreadsheetml/2006/main" count="68" uniqueCount="67">
  <si>
    <t>Correction du calcul de marée du PE 2016</t>
  </si>
  <si>
    <t>Port de référence</t>
  </si>
  <si>
    <t>Corrections</t>
  </si>
  <si>
    <t>Port rattaché avec les corrections</t>
  </si>
  <si>
    <t>Hauteur BM</t>
  </si>
  <si>
    <t>1.93m</t>
  </si>
  <si>
    <t>0.00m</t>
  </si>
  <si>
    <t>Hauteur PM</t>
  </si>
  <si>
    <t>4,01m</t>
  </si>
  <si>
    <t>0.10m</t>
  </si>
  <si>
    <t>4.11m</t>
  </si>
  <si>
    <t>Horaires BM</t>
  </si>
  <si>
    <t>8h30</t>
  </si>
  <si>
    <t>-00h15</t>
  </si>
  <si>
    <t>8h15</t>
  </si>
  <si>
    <t>Horaires PM</t>
  </si>
  <si>
    <t>15h00</t>
  </si>
  <si>
    <t>-00h25</t>
  </si>
  <si>
    <t>14h35</t>
  </si>
  <si>
    <t>1) Durée de l'heure marée</t>
  </si>
  <si>
    <t>2) Marnage (en cm)</t>
  </si>
  <si>
    <t>3) Marnage en douzième</t>
  </si>
  <si>
    <t>On en déduit 2/12 (en cm)</t>
  </si>
  <si>
    <t>et 3/12 (en cm)</t>
  </si>
  <si>
    <t xml:space="preserve">Remplissage du tableau: </t>
  </si>
  <si>
    <t>Heure</t>
  </si>
  <si>
    <t>Hauteur en cm</t>
  </si>
  <si>
    <t>8h15'</t>
  </si>
  <si>
    <t>Début de la marée</t>
  </si>
  <si>
    <t>9h18'33"</t>
  </si>
  <si>
    <t>10h21'66"</t>
  </si>
  <si>
    <t>11h25</t>
  </si>
  <si>
    <t>12h27'33"</t>
  </si>
  <si>
    <t>13h30'66"</t>
  </si>
  <si>
    <t>14h34</t>
  </si>
  <si>
    <t>Tirant d'eau = partie immergée du bateau</t>
  </si>
  <si>
    <t>Point d'échouage = point ou le bateau tuchera le sol (peut-être revérifier)</t>
  </si>
  <si>
    <t>Sonde négative = rocher ou autre obstacle qui sort de l'eau (chiifre souligné sur les cartes)</t>
  </si>
  <si>
    <t>Sonde positive = il y aura toujours de l'eau a l'endroit désigné</t>
  </si>
  <si>
    <t>E3:</t>
  </si>
  <si>
    <t>BM</t>
  </si>
  <si>
    <t>15h04</t>
  </si>
  <si>
    <t>260cm</t>
  </si>
  <si>
    <t>Durée de la marée</t>
  </si>
  <si>
    <t>5h35</t>
  </si>
  <si>
    <t>BM + 1HM</t>
  </si>
  <si>
    <t>16h</t>
  </si>
  <si>
    <t>Heure marée (min)</t>
  </si>
  <si>
    <t>56min</t>
  </si>
  <si>
    <t>BM + 2HM</t>
  </si>
  <si>
    <t>16h56</t>
  </si>
  <si>
    <t>BM + 3 HM</t>
  </si>
  <si>
    <t>17h52</t>
  </si>
  <si>
    <t>Marnage</t>
  </si>
  <si>
    <t>BM + 4HM</t>
  </si>
  <si>
    <t>18h48</t>
  </si>
  <si>
    <t>Douzième</t>
  </si>
  <si>
    <t>BM + 5 HM</t>
  </si>
  <si>
    <t>19h44</t>
  </si>
  <si>
    <t>BM + 6HM (PM)</t>
  </si>
  <si>
    <t>20h39</t>
  </si>
  <si>
    <t>On a besoin au minimum de 50 cm + 620 cm = 670cm pour pouvoir passer au dessus de la sonde. On ne peut passer qu'un peut avant 19h44. Faisons le calcul pour trouver l'heure exacte.</t>
  </si>
  <si>
    <t>Entre la 4eme et la 5eme heure il y a 75,8 cm d'eau qui s'accumule en 56 min environ. On fait donc 75.8/56 = 1.35 cm d'eau supplémentaire toute les minutes.</t>
  </si>
  <si>
    <t>On a besoin de 670 - 601.25 cm dans cette heure donc 68.75 cm avant de parvenir a notre seuil minimum pour passer la sonde.</t>
  </si>
  <si>
    <t>68.75/1.35 = 51 min</t>
  </si>
  <si>
    <t>On ajoute ces 51 min à 18h48 = 19h40</t>
  </si>
  <si>
    <t>Interprétation: Je peux passer au dessus de la sonde a partir de 19h40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</si>
</sst>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0.0"/>
      <color rgb="FF000000"/>
      <name val="Arial"/>
    </font>
    <font>
      <b/>
      <sz val="14.0"/>
      <color rgb="FFFF0000"/>
      <name val="Arial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0</xdr:rowOff>
    </xdr:from>
    <xdr:ext cx="161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6.14"/>
    <col customWidth="1" min="2" max="2" width="16.71"/>
    <col customWidth="1" min="3" max="3" width="17.86"/>
    <col customWidth="1" min="4" max="4" width="15.29"/>
    <col customWidth="1" min="5" max="5" width="30.43"/>
    <col customWidth="1" min="6" max="6" width="16.29"/>
  </cols>
  <sheetData>
    <row r="1">
      <c r="A1" s="1" t="s">
        <v>0</v>
      </c>
    </row>
    <row r="3">
      <c r="B3" s="2"/>
      <c r="C3" s="3" t="s">
        <v>1</v>
      </c>
      <c r="D3" s="3" t="s">
        <v>2</v>
      </c>
      <c r="E3" s="3" t="s">
        <v>3</v>
      </c>
    </row>
    <row r="4">
      <c r="B4" s="3" t="s">
        <v>4</v>
      </c>
      <c r="C4" s="3" t="s">
        <v>5</v>
      </c>
      <c r="D4" s="3" t="s">
        <v>6</v>
      </c>
      <c r="E4" s="3" t="s">
        <v>5</v>
      </c>
    </row>
    <row r="5">
      <c r="B5" s="3" t="s">
        <v>7</v>
      </c>
      <c r="C5" s="3" t="s">
        <v>8</v>
      </c>
      <c r="D5" s="3" t="s">
        <v>9</v>
      </c>
      <c r="E5" s="3" t="s">
        <v>10</v>
      </c>
    </row>
    <row r="6">
      <c r="B6" s="3" t="s">
        <v>11</v>
      </c>
      <c r="C6" s="3" t="s">
        <v>12</v>
      </c>
      <c r="D6" s="3" t="s">
        <v>13</v>
      </c>
      <c r="E6" s="3" t="s">
        <v>14</v>
      </c>
    </row>
    <row r="7">
      <c r="B7" s="3" t="s">
        <v>15</v>
      </c>
      <c r="C7" s="3" t="s">
        <v>16</v>
      </c>
      <c r="D7" s="3" t="s">
        <v>17</v>
      </c>
      <c r="E7" s="3" t="s">
        <v>18</v>
      </c>
    </row>
    <row r="9">
      <c r="A9" s="4" t="s">
        <v>19</v>
      </c>
      <c r="B9" s="5">
        <f> ((14*60+35) - (8*60+15)) / 6
</f>
        <v>63.33333333</v>
      </c>
    </row>
    <row r="10">
      <c r="A10" s="4" t="s">
        <v>20</v>
      </c>
      <c r="B10" s="5">
        <f>411-193</f>
        <v>218</v>
      </c>
    </row>
    <row r="11">
      <c r="A11" s="4" t="s">
        <v>21</v>
      </c>
      <c r="B11" s="5">
        <f>B10/12</f>
        <v>18.16666667</v>
      </c>
    </row>
    <row r="12">
      <c r="A12" s="4" t="s">
        <v>22</v>
      </c>
      <c r="B12" s="5">
        <f>B11*2</f>
        <v>36.33333333</v>
      </c>
    </row>
    <row r="13">
      <c r="A13" s="4" t="s">
        <v>23</v>
      </c>
      <c r="B13" s="5">
        <f>B11*3</f>
        <v>54.5</v>
      </c>
      <c r="F13" s="4">
        <f>54/63</f>
        <v>0.8571428571</v>
      </c>
    </row>
    <row r="16">
      <c r="A16" s="6" t="s">
        <v>24</v>
      </c>
      <c r="B16" s="3" t="s">
        <v>25</v>
      </c>
      <c r="C16" s="3" t="s">
        <v>26</v>
      </c>
    </row>
    <row r="17">
      <c r="B17" s="3" t="s">
        <v>27</v>
      </c>
      <c r="C17" s="3">
        <v>193.0</v>
      </c>
      <c r="D17" s="3" t="s">
        <v>28</v>
      </c>
    </row>
    <row r="18">
      <c r="B18" s="3" t="s">
        <v>29</v>
      </c>
      <c r="C18" s="2">
        <f t="shared" ref="C18:C20" si="1">C17+B11</f>
        <v>211.1666667</v>
      </c>
    </row>
    <row r="19">
      <c r="B19" s="3" t="s">
        <v>30</v>
      </c>
      <c r="C19" s="2">
        <f t="shared" si="1"/>
        <v>247.5</v>
      </c>
    </row>
    <row r="20">
      <c r="B20" s="3" t="s">
        <v>31</v>
      </c>
      <c r="C20" s="2">
        <f t="shared" si="1"/>
        <v>302</v>
      </c>
    </row>
    <row r="21">
      <c r="B21" s="3" t="s">
        <v>32</v>
      </c>
      <c r="C21" s="2">
        <f>C20+B13</f>
        <v>356.5</v>
      </c>
    </row>
    <row r="22">
      <c r="B22" s="3" t="s">
        <v>33</v>
      </c>
      <c r="C22" s="2">
        <f>C21+B12</f>
        <v>392.8333333</v>
      </c>
    </row>
    <row r="23">
      <c r="B23" s="3" t="s">
        <v>34</v>
      </c>
      <c r="C23" s="2">
        <f>C22+B11</f>
        <v>411</v>
      </c>
    </row>
    <row r="24">
      <c r="E24" s="5"/>
    </row>
    <row r="25" ht="12.75" customHeight="1">
      <c r="A25" s="4" t="s">
        <v>35</v>
      </c>
    </row>
    <row r="26">
      <c r="A26" s="4" t="s">
        <v>36</v>
      </c>
    </row>
    <row r="27">
      <c r="A27" s="4" t="s">
        <v>37</v>
      </c>
    </row>
    <row r="28">
      <c r="A28" s="4" t="s">
        <v>38</v>
      </c>
    </row>
    <row r="30">
      <c r="A30" s="4" t="s">
        <v>39</v>
      </c>
    </row>
    <row r="31">
      <c r="B31" s="3" t="s">
        <v>40</v>
      </c>
      <c r="C31" s="3" t="s">
        <v>41</v>
      </c>
      <c r="D31" s="3" t="s">
        <v>42</v>
      </c>
      <c r="F31" s="4" t="s">
        <v>43</v>
      </c>
      <c r="G31" s="4" t="s">
        <v>44</v>
      </c>
    </row>
    <row r="32">
      <c r="B32" s="3" t="s">
        <v>45</v>
      </c>
      <c r="C32" s="3" t="s">
        <v>46</v>
      </c>
      <c r="D32" s="2">
        <f>260+G35</f>
        <v>297.9166667</v>
      </c>
      <c r="F32" s="4" t="s">
        <v>47</v>
      </c>
      <c r="G32" s="4" t="s">
        <v>48</v>
      </c>
    </row>
    <row r="33">
      <c r="B33" s="3" t="s">
        <v>49</v>
      </c>
      <c r="C33" s="3" t="s">
        <v>50</v>
      </c>
      <c r="D33" s="2">
        <f t="shared" ref="D33:D34" si="2">D32+G36</f>
        <v>373.75</v>
      </c>
    </row>
    <row r="34">
      <c r="B34" s="3" t="s">
        <v>51</v>
      </c>
      <c r="C34" s="3" t="s">
        <v>52</v>
      </c>
      <c r="D34" s="2">
        <f t="shared" si="2"/>
        <v>487.5</v>
      </c>
      <c r="F34" s="4" t="s">
        <v>53</v>
      </c>
      <c r="G34" s="4">
        <f>715 - 260</f>
        <v>455</v>
      </c>
    </row>
    <row r="35">
      <c r="B35" s="3" t="s">
        <v>54</v>
      </c>
      <c r="C35" s="3" t="s">
        <v>55</v>
      </c>
      <c r="D35" s="2">
        <f>D34+G37</f>
        <v>601.25</v>
      </c>
      <c r="F35" s="4" t="s">
        <v>56</v>
      </c>
      <c r="G35" s="5">
        <f>G34/12</f>
        <v>37.91666667</v>
      </c>
    </row>
    <row r="36">
      <c r="B36" s="3" t="s">
        <v>57</v>
      </c>
      <c r="C36" s="3" t="s">
        <v>58</v>
      </c>
      <c r="D36" s="2">
        <f>D35+G36</f>
        <v>677.0833333</v>
      </c>
      <c r="F36" s="7">
        <v>43801.0</v>
      </c>
      <c r="G36" s="5">
        <f>2*G35</f>
        <v>75.83333333</v>
      </c>
    </row>
    <row r="37">
      <c r="B37" s="3" t="s">
        <v>59</v>
      </c>
      <c r="C37" s="3" t="s">
        <v>60</v>
      </c>
      <c r="D37" s="3">
        <f>D36+G35</f>
        <v>715</v>
      </c>
      <c r="F37" s="7">
        <v>43802.0</v>
      </c>
      <c r="G37" s="5">
        <f>3*G35</f>
        <v>113.75</v>
      </c>
    </row>
    <row r="39">
      <c r="A39" s="4" t="s">
        <v>61</v>
      </c>
    </row>
    <row r="40">
      <c r="A40" s="4" t="s">
        <v>62</v>
      </c>
    </row>
    <row r="41">
      <c r="A41" s="4" t="s">
        <v>63</v>
      </c>
    </row>
    <row r="42">
      <c r="A42" s="4" t="s">
        <v>64</v>
      </c>
      <c r="B42" s="4" t="s">
        <v>65</v>
      </c>
      <c r="D42" s="4" t="s">
        <v>66</v>
      </c>
    </row>
  </sheetData>
  <drawing r:id="rId1"/>
</worksheet>
</file>